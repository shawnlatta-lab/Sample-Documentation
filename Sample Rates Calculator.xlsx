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8_{5EF3A0DA-8415-496F-A4D5-EAE1EADF8319}" xr6:coauthVersionLast="47" xr6:coauthVersionMax="47" xr10:uidLastSave="{00000000-0000-0000-0000-000000000000}"/>
  <bookViews>
    <workbookView xWindow="-108" yWindow="-108" windowWidth="23256" windowHeight="12456" firstSheet="1" activeTab="1" xr2:uid="{977A6D09-8D13-4889-8FEA-0B13972A3A8E}"/>
  </bookViews>
  <sheets>
    <sheet name="Background Math" sheetId="1" state="hidden" r:id="rId1"/>
    <sheet name="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6" i="2"/>
  <c r="C9" i="2" l="1"/>
  <c r="C10" i="2" l="1"/>
  <c r="C11" i="2"/>
  <c r="C12" i="2"/>
</calcChain>
</file>

<file path=xl/sharedStrings.xml><?xml version="1.0" encoding="utf-8"?>
<sst xmlns="http://schemas.openxmlformats.org/spreadsheetml/2006/main" count="37" uniqueCount="35">
  <si>
    <t>Age Bracket</t>
  </si>
  <si>
    <t>Under 25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</si>
  <si>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</si>
  <si>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</si>
  <si>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</si>
  <si>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</si>
  <si>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</si>
  <si>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</si>
  <si>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</si>
  <si>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</si>
  <si>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</si>
  <si>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</si>
  <si>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Base Rate Per $1000</t>
  </si>
  <si>
    <t>Tobacco Factor</t>
  </si>
  <si>
    <t>Age Band</t>
  </si>
  <si>
    <t>Coverage Amount</t>
  </si>
  <si>
    <t>Coverage can not exceed $10,000.</t>
  </si>
  <si>
    <t>Pricing for RosieCare</t>
  </si>
  <si>
    <t>Coverage Category</t>
  </si>
  <si>
    <t>Math Factors</t>
  </si>
  <si>
    <t>Coverage Factors</t>
  </si>
  <si>
    <t>EMP</t>
  </si>
  <si>
    <t>EMP + SPS</t>
  </si>
  <si>
    <t>EMP + CHD</t>
  </si>
  <si>
    <t>EMP + FAM</t>
  </si>
  <si>
    <t>Rate Factors</t>
  </si>
  <si>
    <t>Tobacco Factor = Y</t>
  </si>
  <si>
    <t>Tobacco Factor = N</t>
  </si>
  <si>
    <t>Annual Rate</t>
  </si>
  <si>
    <t>Weekly Rate</t>
  </si>
  <si>
    <t>Monthy Rate</t>
  </si>
  <si>
    <t>Bi-Weely Rate</t>
  </si>
  <si>
    <t>Rates For RosieCare</t>
  </si>
  <si>
    <t>Formula = Coverage Amount * Age Band Rate * Tobacco Factor * Coverage Category.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</si>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</sst>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44" fontId="0" fillId="3" borderId="0" xfId="0" applyNumberFormat="1" applyFill="1"/>
    <xf numFmtId="164" fontId="0" fillId="3" borderId="0" xfId="0" applyNumberFormat="1" applyFill="1"/>
    <xf numFmtId="0" fontId="5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165" fontId="0" fillId="3" borderId="1" xfId="0" applyNumberFormat="1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A9F0-CC4C-4A6D-92B9-2D854F70DA66}">
  <dimension ref="A1:I22"/>
  <sheetViews>
    <sheetView workbookViewId="0">
      <selection activeCell="G16" sqref="G16"/>
    </sheetView>
  </sheetViews>
  <sheetFormatPr defaultRowHeight="14.4" x14ac:dyDescent="0.3"/>
  <sheetData>
    <row r="1" spans="1:9" s="1" customFormat="1" ht="18" x14ac:dyDescent="0.35">
      <c r="A1" s="1" t="s">
        <v>0</v>
      </c>
    </row>
    <row r="2" spans="1:9" x14ac:dyDescent="0.3">
      <c r="A2" t="s">
        <v>19</v>
      </c>
      <c r="C2" t="s">
        <v>12</v>
      </c>
      <c r="F2" t="s">
        <v>26</v>
      </c>
      <c r="I2" t="s">
        <v>27</v>
      </c>
    </row>
    <row r="3" spans="1:9" x14ac:dyDescent="0.3">
      <c r="A3" t="s">
        <v>1</v>
      </c>
      <c r="C3">
        <v>0.12</v>
      </c>
      <c r="F3">
        <v>1.3</v>
      </c>
      <c r="I3">
        <v>1</v>
      </c>
    </row>
    <row r="4" spans="1:9" x14ac:dyDescent="0.3">
      <c r="A4" t="s">
        <v>2</v>
      </c>
      <c r="C4">
        <v>1.1200000000000001</v>
      </c>
      <c r="F4">
        <v>1.3</v>
      </c>
      <c r="I4">
        <v>1</v>
      </c>
    </row>
    <row r="5" spans="1:9" x14ac:dyDescent="0.3">
      <c r="A5" t="s">
        <v>3</v>
      </c>
      <c r="C5">
        <v>2.12</v>
      </c>
      <c r="F5">
        <v>1.3</v>
      </c>
      <c r="I5">
        <v>1</v>
      </c>
    </row>
    <row r="6" spans="1:9" x14ac:dyDescent="0.3">
      <c r="A6" t="s">
        <v>4</v>
      </c>
      <c r="C6">
        <v>3.12</v>
      </c>
      <c r="F6">
        <v>1.3</v>
      </c>
      <c r="I6">
        <v>1</v>
      </c>
    </row>
    <row r="7" spans="1:9" x14ac:dyDescent="0.3">
      <c r="A7" t="s">
        <v>5</v>
      </c>
      <c r="C7">
        <v>4.12</v>
      </c>
      <c r="F7">
        <v>1.3</v>
      </c>
      <c r="I7">
        <v>1</v>
      </c>
    </row>
    <row r="8" spans="1:9" x14ac:dyDescent="0.3">
      <c r="A8" t="s">
        <v>6</v>
      </c>
      <c r="C8">
        <v>5.12</v>
      </c>
      <c r="F8">
        <v>1.3</v>
      </c>
      <c r="I8">
        <v>1</v>
      </c>
    </row>
    <row r="9" spans="1:9" x14ac:dyDescent="0.3">
      <c r="A9" t="s">
        <v>7</v>
      </c>
      <c r="C9">
        <v>6.12</v>
      </c>
      <c r="F9">
        <v>2.2999999999999998</v>
      </c>
      <c r="I9">
        <v>1</v>
      </c>
    </row>
    <row r="10" spans="1:9" x14ac:dyDescent="0.3">
      <c r="A10" t="s">
        <v>8</v>
      </c>
      <c r="C10">
        <v>7.12</v>
      </c>
      <c r="F10">
        <v>2.2999999999999998</v>
      </c>
      <c r="I10">
        <v>1</v>
      </c>
    </row>
    <row r="11" spans="1:9" x14ac:dyDescent="0.3">
      <c r="A11" t="s">
        <v>9</v>
      </c>
      <c r="C11">
        <v>8.1199999999999992</v>
      </c>
      <c r="F11">
        <v>2.2999999999999998</v>
      </c>
      <c r="I11">
        <v>1</v>
      </c>
    </row>
    <row r="12" spans="1:9" x14ac:dyDescent="0.3">
      <c r="A12" t="s">
        <v>10</v>
      </c>
      <c r="C12">
        <v>9.1199999999999992</v>
      </c>
      <c r="F12">
        <v>2.2999999999999998</v>
      </c>
      <c r="I12">
        <v>1</v>
      </c>
    </row>
    <row r="13" spans="1:9" x14ac:dyDescent="0.3">
      <c r="A13" t="s">
        <v>11</v>
      </c>
      <c r="C13">
        <v>10.119999999999999</v>
      </c>
      <c r="F13">
        <v>2.2999999999999998</v>
      </c>
      <c r="I13">
        <v>1</v>
      </c>
    </row>
    <row r="18" spans="1:3" x14ac:dyDescent="0.3">
      <c r="A18" t="s">
        <v>20</v>
      </c>
    </row>
    <row r="19" spans="1:3" x14ac:dyDescent="0.3">
      <c r="A19" t="s">
        <v>21</v>
      </c>
      <c r="C19">
        <v>0.1</v>
      </c>
    </row>
    <row r="20" spans="1:3" x14ac:dyDescent="0.3">
      <c r="A20" t="s">
        <v>22</v>
      </c>
      <c r="C20">
        <v>0.2</v>
      </c>
    </row>
    <row r="21" spans="1:3" x14ac:dyDescent="0.3">
      <c r="A21" t="s">
        <v>23</v>
      </c>
      <c r="C21">
        <v>0.3</v>
      </c>
    </row>
    <row r="22" spans="1:3" x14ac:dyDescent="0.3">
      <c r="A22" t="s">
        <v>24</v>
      </c>
      <c r="C22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58BA-BEDE-466F-B936-63AFAB3FA8FE}">
  <dimension ref="A1:F12"/>
  <sheetViews>
    <sheetView tabSelected="1" workbookViewId="0">
      <pane ySplit="1" topLeftCell="A2" activePane="bottomLeft" state="frozen"/>
      <selection pane="bottomLeft" activeCell="L16" sqref="L16"/>
    </sheetView>
  </sheetViews>
  <sheetFormatPr defaultRowHeight="14.4" x14ac:dyDescent="0.3"/>
  <cols>
    <col min="1" max="1" width="17" style="2" customWidth="1"/>
    <col min="2" max="2" width="13.33203125" style="3" customWidth="1"/>
    <col min="3" max="3" width="10.21875" style="2" bestFit="1" customWidth="1"/>
    <col min="4" max="16384" width="8.88671875" style="2"/>
  </cols>
  <sheetData>
    <row r="1" spans="1:6" s="11" customFormat="1" ht="23.4" x14ac:dyDescent="0.45">
      <c r="A1" s="9" t="s">
        <v>32</v>
      </c>
      <c r="B1" s="10"/>
    </row>
    <row r="2" spans="1:6" s="4" customFormat="1" ht="18.600000000000001" thickBot="1" x14ac:dyDescent="0.4">
      <c r="A2" s="6" t="s">
        <v>16</v>
      </c>
      <c r="B2" s="5"/>
      <c r="C2" s="4" t="s">
        <v>25</v>
      </c>
    </row>
    <row r="3" spans="1:6" ht="15" thickBot="1" x14ac:dyDescent="0.35">
      <c r="A3" s="2" t="s">
        <v>15</v>
      </c>
      <c r="B3" s="12">
        <v>9000</v>
      </c>
      <c r="C3" s="2">
        <v>10000</v>
      </c>
    </row>
    <row r="4" spans="1:6" x14ac:dyDescent="0.3">
      <c r="A4" s="2" t="s">
        <v>14</v>
      </c>
      <c r="B4" s="13" t="s">
        <v>9</v>
      </c>
      <c r="C4" s="2">
        <f>_xlfn.XLOOKUP($B$4,'Background Math'!$A$3:$A$13,'Background Math'!$C3:$C13,TRUE,0)</f>
        <v>8.1199999999999992</v>
      </c>
      <c r="F4" s="2" t="s">
        <v>33</v>
      </c>
    </row>
    <row r="5" spans="1:6" x14ac:dyDescent="0.3">
      <c r="A5" s="2" t="s">
        <v>13</v>
      </c>
      <c r="B5" s="13" t="s">
        <v>34</v>
      </c>
      <c r="C5" s="2">
        <f>IF(B5="Y",_xlfn.XLOOKUP($B$4,'Background Math'!$A$3:$A$13,'Background Math'!F3:F13,TRUE,0),_xlfn.XLOOKUP($B$4,'Background Math'!$A$3:$A$13,'Background Math'!$I$3:$I$13,TRUE,0))</f>
        <v>2.2999999999999998</v>
      </c>
    </row>
    <row r="6" spans="1:6" x14ac:dyDescent="0.3">
      <c r="A6" s="2" t="s">
        <v>18</v>
      </c>
      <c r="B6" s="13" t="s">
        <v>23</v>
      </c>
      <c r="C6" s="2">
        <f>_xlfn.XLOOKUP(B6,'Background Math'!A19:A22,'Background Math'!C19:C22,TRUE,0)</f>
        <v>0.3</v>
      </c>
    </row>
    <row r="8" spans="1:6" x14ac:dyDescent="0.3">
      <c r="A8" s="2" t="s">
        <v>17</v>
      </c>
      <c r="C8" s="7"/>
    </row>
    <row r="9" spans="1:6" x14ac:dyDescent="0.3">
      <c r="A9" s="2" t="s">
        <v>28</v>
      </c>
      <c r="C9" s="8">
        <f>PRODUCT(C3:C6)</f>
        <v>56027.999999999978</v>
      </c>
    </row>
    <row r="10" spans="1:6" x14ac:dyDescent="0.3">
      <c r="A10" s="2" t="s">
        <v>30</v>
      </c>
      <c r="C10" s="8">
        <f>C9/12</f>
        <v>4668.9999999999982</v>
      </c>
    </row>
    <row r="11" spans="1:6" x14ac:dyDescent="0.3">
      <c r="A11" s="2" t="s">
        <v>31</v>
      </c>
      <c r="C11" s="8">
        <f>C9/26</f>
        <v>2154.9230769230762</v>
      </c>
    </row>
    <row r="12" spans="1:6" x14ac:dyDescent="0.3">
      <c r="A12" s="2" t="s">
        <v>29</v>
      </c>
      <c r="C12" s="8">
        <f>C9/52</f>
        <v>1077.4615384615381</v>
      </c>
    </row>
  </sheetData>
  <sheetProtection algorithmName="SHA-512" hashValue="5R/neN4z/f9BvZVbUhF+rv+3s37fK95M+Xz35u+z2AXjoq04yI2THdydc3FuYixLRC0NYoQ1ne/zX3egA5y5bA==" saltValue="jYRGZw/V2/XI+MPgSZLp/g==" spinCount="100000" sheet="1" objects="1" scenarios="1"/>
  <dataValidations count="3">
    <dataValidation type="whole" allowBlank="1" showInputMessage="1" showErrorMessage="1" sqref="B3" xr:uid="{2363D9CD-5750-41DE-917F-57E07BB358ED}">
      <formula1>0</formula1>
      <formula2>10000</formula2>
    </dataValidation>
    <dataValidation type="list" allowBlank="1" showInputMessage="1" showErrorMessage="1" sqref="B5" xr:uid="{64DC9825-5D2F-4FD4-A226-C4D53EF67787}">
      <formula1>"Y,N"</formula1>
    </dataValidation>
    <dataValidation type="whole" operator="lessThan" allowBlank="1" showInputMessage="1" showErrorMessage="1" errorTitle="Coverage Limit" error="Coverage Limit for RosieCare is $10,000 coverage per enrolled member." sqref="C3" xr:uid="{96362DC6-3384-4620-97A9-8BE36E73DDF4}">
      <formula1>10001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D08055-8FCE-4C26-8A93-50E0CFDA0AC3}">
          <x14:formula1>
            <xm:f>'Background Math'!$A$3:$A$13</xm:f>
          </x14:formula1>
          <xm:sqref>B4</xm:sqref>
        </x14:dataValidation>
        <x14:dataValidation type="list" allowBlank="1" showInputMessage="1" showErrorMessage="1" xr:uid="{E44AC115-E3B9-47B8-AC77-3577CC08C343}">
          <x14:formula1>
            <xm:f>'Background Math'!$A$19:$A$22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 Math</vt:lpstr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2026-03-26T18:41:40Z</dcterms:created>
  <dcterms:modified xsi:type="dcterms:W3CDTF">2026-03-26T21:32:45Z</dcterms:modified>
</cp:coreProperties>
</file>